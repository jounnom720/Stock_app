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wcho\iCloudDrive\iHwcho\조현웅\Stock_App\"/>
    </mc:Choice>
  </mc:AlternateContent>
  <bookViews>
    <workbookView xWindow="0" yWindow="0" windowWidth="17256" windowHeight="5832" activeTab="1"/>
  </bookViews>
  <sheets>
    <sheet name="거래이력" sheetId="1" r:id="rId1"/>
    <sheet name="비주식자산" sheetId="2" r:id="rId2"/>
    <sheet name="통합요약" sheetId="3" r:id="rId3"/>
  </sheets>
  <calcPr calcId="162913"/>
</workbook>
</file>

<file path=xl/calcChain.xml><?xml version="1.0" encoding="utf-8"?>
<calcChain xmlns="http://schemas.openxmlformats.org/spreadsheetml/2006/main">
  <c r="C3" i="3" l="1"/>
  <c r="B3" i="3"/>
  <c r="B4" i="3" s="1"/>
  <c r="D3" i="3" l="1"/>
  <c r="E3" i="3" s="1"/>
  <c r="C4" i="3"/>
  <c r="D4" i="3" s="1"/>
  <c r="E4" i="3" s="1"/>
</calcChain>
</file>

<file path=xl/sharedStrings.xml><?xml version="1.0" encoding="utf-8"?>
<sst xmlns="http://schemas.openxmlformats.org/spreadsheetml/2006/main" count="111" uniqueCount="61">
  <si>
    <t>종목코드</t>
  </si>
  <si>
    <t>종목명</t>
  </si>
  <si>
    <t>거래일자</t>
  </si>
  <si>
    <t>거래구분</t>
  </si>
  <si>
    <t>거래수량</t>
  </si>
  <si>
    <t>거래단가</t>
  </si>
  <si>
    <t>운용사</t>
  </si>
  <si>
    <t>비고</t>
  </si>
  <si>
    <t>069500</t>
  </si>
  <si>
    <t>KODEX 200</t>
  </si>
  <si>
    <t>매수</t>
  </si>
  <si>
    <t>005930</t>
  </si>
  <si>
    <t>삼성전자</t>
  </si>
  <si>
    <t>계좌</t>
  </si>
  <si>
    <t>자산군</t>
  </si>
  <si>
    <t>상품명</t>
  </si>
  <si>
    <t>원금</t>
  </si>
  <si>
    <t>평가금액</t>
  </si>
  <si>
    <t>수익률(%)</t>
  </si>
  <si>
    <t>만기일</t>
  </si>
  <si>
    <t>기준일</t>
  </si>
  <si>
    <t>TDF</t>
  </si>
  <si>
    <t>TDF2035</t>
  </si>
  <si>
    <t>2026-04-30</t>
  </si>
  <si>
    <t>TDF2045</t>
  </si>
  <si>
    <t>정기예금</t>
  </si>
  <si>
    <t>2027-02-11</t>
  </si>
  <si>
    <t>현금성자산</t>
  </si>
  <si>
    <t>현금성 대기자산</t>
  </si>
  <si>
    <t>예수금</t>
  </si>
  <si>
    <t>구분</t>
  </si>
  <si>
    <t>손익</t>
  </si>
  <si>
    <t>주식/ETF</t>
  </si>
  <si>
    <t>비주식·현금성 자산</t>
  </si>
  <si>
    <t>전체 합계</t>
  </si>
  <si>
    <t>2026-03-05</t>
  </si>
  <si>
    <t>신한은행 IRP</t>
  </si>
  <si>
    <t>2026-03-27</t>
  </si>
  <si>
    <t>471990</t>
  </si>
  <si>
    <t>KODEX AI반도체핵심장비</t>
  </si>
  <si>
    <t>2026-03-31</t>
  </si>
  <si>
    <t>미래에셋증권</t>
  </si>
  <si>
    <t>000660</t>
  </si>
  <si>
    <t>SK하이닉스</t>
  </si>
  <si>
    <t>2026-04-02</t>
  </si>
  <si>
    <r>
      <t>0</t>
    </r>
    <r>
      <rPr>
        <sz val="11"/>
        <color rgb="FF000000"/>
        <rFont val="맑은 고딕"/>
        <family val="3"/>
        <charset val="129"/>
      </rPr>
      <t>09150</t>
    </r>
    <phoneticPr fontId="3" type="noConversion"/>
  </si>
  <si>
    <t>삼성전기</t>
    <phoneticPr fontId="3" type="noConversion"/>
  </si>
  <si>
    <t>미래에셋증권</t>
    <phoneticPr fontId="3" type="noConversion"/>
  </si>
  <si>
    <t>071970</t>
    <phoneticPr fontId="3" type="noConversion"/>
  </si>
  <si>
    <r>
      <t>H</t>
    </r>
    <r>
      <rPr>
        <sz val="11"/>
        <color rgb="FF000000"/>
        <rFont val="맑은 고딕"/>
        <family val="3"/>
        <charset val="129"/>
      </rPr>
      <t>D현대마린엔진</t>
    </r>
    <phoneticPr fontId="3" type="noConversion"/>
  </si>
  <si>
    <t>은행 IRP</t>
    <phoneticPr fontId="1" type="noConversion"/>
  </si>
  <si>
    <t>증권 IRP</t>
    <phoneticPr fontId="1" type="noConversion"/>
  </si>
  <si>
    <t>증권사</t>
    <phoneticPr fontId="1" type="noConversion"/>
  </si>
  <si>
    <t>증권사 정기예금</t>
    <phoneticPr fontId="1" type="noConversion"/>
  </si>
  <si>
    <t>034020</t>
    <phoneticPr fontId="3" type="noConversion"/>
  </si>
  <si>
    <t>두산에너빌리티</t>
    <phoneticPr fontId="3" type="noConversion"/>
  </si>
  <si>
    <t>298040</t>
    <phoneticPr fontId="3" type="noConversion"/>
  </si>
  <si>
    <t>효성중공업</t>
    <phoneticPr fontId="3" type="noConversion"/>
  </si>
  <si>
    <t>005380</t>
    <phoneticPr fontId="3" type="noConversion"/>
  </si>
  <si>
    <t>현대차</t>
    <phoneticPr fontId="3" type="noConversion"/>
  </si>
  <si>
    <t>매도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</si>
</sst>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49" fontId="2" fillId="0" borderId="0" xfId="0" applyNumberFormat="1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F17" sqref="F17"/>
    </sheetView>
  </sheetViews>
  <sheetFormatPr defaultColWidth="9" defaultRowHeight="17.399999999999999" x14ac:dyDescent="0.4"/>
  <cols>
    <col min="2" max="2" width="23.19921875" bestFit="1" customWidth="1"/>
    <col min="3" max="3" width="10.8984375" style="1" bestFit="1" customWidth="1"/>
    <col min="6" max="6" width="10.59765625" bestFit="1" customWidth="1"/>
    <col min="7" max="7" width="12.3984375" bestFit="1" customWidth="1"/>
  </cols>
  <sheetData>
    <row r="1" spans="1:8" x14ac:dyDescent="0.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s="1" t="s">
        <v>35</v>
      </c>
      <c r="D2" t="s">
        <v>10</v>
      </c>
      <c r="E2">
        <v>1000</v>
      </c>
      <c r="F2">
        <v>84936</v>
      </c>
      <c r="G2" t="s">
        <v>36</v>
      </c>
    </row>
    <row r="3" spans="1:8" x14ac:dyDescent="0.4">
      <c r="A3" t="s">
        <v>38</v>
      </c>
      <c r="B3" t="s">
        <v>39</v>
      </c>
      <c r="C3" s="1" t="s">
        <v>37</v>
      </c>
      <c r="D3" t="s">
        <v>10</v>
      </c>
      <c r="E3">
        <v>500</v>
      </c>
      <c r="F3">
        <v>24574</v>
      </c>
      <c r="G3" t="s">
        <v>36</v>
      </c>
    </row>
    <row r="4" spans="1:8" x14ac:dyDescent="0.4">
      <c r="A4" t="s">
        <v>11</v>
      </c>
      <c r="B4" t="s">
        <v>12</v>
      </c>
      <c r="C4" s="1" t="s">
        <v>40</v>
      </c>
      <c r="D4" t="s">
        <v>10</v>
      </c>
      <c r="E4">
        <v>500</v>
      </c>
      <c r="F4">
        <v>168200</v>
      </c>
      <c r="G4" t="s">
        <v>41</v>
      </c>
    </row>
    <row r="5" spans="1:8" x14ac:dyDescent="0.4">
      <c r="A5" t="s">
        <v>42</v>
      </c>
      <c r="B5" t="s">
        <v>43</v>
      </c>
      <c r="C5" s="1" t="s">
        <v>40</v>
      </c>
      <c r="D5" t="s">
        <v>10</v>
      </c>
      <c r="E5">
        <v>50</v>
      </c>
      <c r="F5">
        <v>811000</v>
      </c>
      <c r="G5" t="s">
        <v>41</v>
      </c>
    </row>
    <row r="6" spans="1:8" x14ac:dyDescent="0.4">
      <c r="A6" t="s">
        <v>38</v>
      </c>
      <c r="B6" t="s">
        <v>39</v>
      </c>
      <c r="C6" s="1" t="s">
        <v>44</v>
      </c>
      <c r="D6" t="s">
        <v>10</v>
      </c>
      <c r="E6">
        <v>400</v>
      </c>
      <c r="F6">
        <v>24759</v>
      </c>
      <c r="G6" t="s">
        <v>36</v>
      </c>
    </row>
    <row r="7" spans="1:8" x14ac:dyDescent="0.4">
      <c r="A7" t="s">
        <v>11</v>
      </c>
      <c r="B7" t="s">
        <v>12</v>
      </c>
      <c r="C7" s="3">
        <v>46132</v>
      </c>
      <c r="D7" t="s">
        <v>10</v>
      </c>
      <c r="E7">
        <v>100</v>
      </c>
      <c r="F7">
        <v>216000</v>
      </c>
      <c r="G7" t="s">
        <v>41</v>
      </c>
      <c r="H7" s="2"/>
    </row>
    <row r="8" spans="1:8" x14ac:dyDescent="0.4">
      <c r="A8" t="s">
        <v>8</v>
      </c>
      <c r="B8" t="s">
        <v>9</v>
      </c>
      <c r="C8" s="3">
        <v>46136</v>
      </c>
      <c r="D8" t="s">
        <v>10</v>
      </c>
      <c r="E8">
        <v>300</v>
      </c>
      <c r="F8">
        <v>98218</v>
      </c>
      <c r="G8" t="s">
        <v>36</v>
      </c>
      <c r="H8" s="2"/>
    </row>
    <row r="9" spans="1:8" x14ac:dyDescent="0.4">
      <c r="A9" t="s">
        <v>38</v>
      </c>
      <c r="B9" t="s">
        <v>39</v>
      </c>
      <c r="C9" s="3">
        <v>46136</v>
      </c>
      <c r="D9" t="s">
        <v>10</v>
      </c>
      <c r="E9">
        <v>500</v>
      </c>
      <c r="F9">
        <v>29169</v>
      </c>
      <c r="G9" t="s">
        <v>36</v>
      </c>
      <c r="H9" s="2"/>
    </row>
    <row r="10" spans="1:8" x14ac:dyDescent="0.4">
      <c r="A10" s="4" t="s">
        <v>45</v>
      </c>
      <c r="B10" s="2" t="s">
        <v>46</v>
      </c>
      <c r="C10" s="3">
        <v>46141</v>
      </c>
      <c r="D10" t="s">
        <v>10</v>
      </c>
      <c r="E10">
        <v>100</v>
      </c>
      <c r="F10">
        <v>820000</v>
      </c>
      <c r="G10" s="2" t="s">
        <v>47</v>
      </c>
      <c r="H10" s="2"/>
    </row>
    <row r="11" spans="1:8" x14ac:dyDescent="0.4">
      <c r="A11" s="4" t="s">
        <v>48</v>
      </c>
      <c r="B11" s="2" t="s">
        <v>49</v>
      </c>
      <c r="C11" s="3">
        <v>46141</v>
      </c>
      <c r="D11" t="s">
        <v>10</v>
      </c>
      <c r="E11">
        <v>500</v>
      </c>
      <c r="F11">
        <v>107500</v>
      </c>
      <c r="G11" s="2" t="s">
        <v>47</v>
      </c>
      <c r="H11" s="2"/>
    </row>
    <row r="12" spans="1:8" x14ac:dyDescent="0.4">
      <c r="A12" s="4" t="s">
        <v>54</v>
      </c>
      <c r="B12" s="2" t="s">
        <v>55</v>
      </c>
      <c r="C12" s="3">
        <v>46141</v>
      </c>
      <c r="D12" t="s">
        <v>10</v>
      </c>
      <c r="E12">
        <v>500</v>
      </c>
      <c r="F12">
        <v>127100</v>
      </c>
      <c r="G12" s="2" t="s">
        <v>47</v>
      </c>
      <c r="H12" s="2"/>
    </row>
    <row r="13" spans="1:8" x14ac:dyDescent="0.4">
      <c r="A13" s="4" t="s">
        <v>56</v>
      </c>
      <c r="B13" s="2" t="s">
        <v>57</v>
      </c>
      <c r="C13" s="3">
        <v>46141</v>
      </c>
      <c r="D13" t="s">
        <v>10</v>
      </c>
      <c r="E13">
        <v>20</v>
      </c>
      <c r="F13">
        <v>3912000</v>
      </c>
      <c r="G13" s="2" t="s">
        <v>47</v>
      </c>
      <c r="H13" s="2"/>
    </row>
    <row r="14" spans="1:8" x14ac:dyDescent="0.4">
      <c r="A14" s="4" t="s">
        <v>58</v>
      </c>
      <c r="B14" s="2" t="s">
        <v>59</v>
      </c>
      <c r="C14" s="3">
        <v>46141</v>
      </c>
      <c r="D14" t="s">
        <v>10</v>
      </c>
      <c r="E14">
        <v>50</v>
      </c>
      <c r="F14">
        <v>531000</v>
      </c>
      <c r="G14" s="2" t="s">
        <v>47</v>
      </c>
      <c r="H14" s="2"/>
    </row>
    <row r="15" spans="1:8" x14ac:dyDescent="0.4">
      <c r="A15" t="s">
        <v>11</v>
      </c>
      <c r="B15" t="s">
        <v>12</v>
      </c>
      <c r="C15" s="3">
        <v>46148</v>
      </c>
      <c r="D15" t="s">
        <v>60</v>
      </c>
      <c r="E15">
        <v>50</v>
      </c>
      <c r="F15">
        <v>260000</v>
      </c>
      <c r="G15" t="s">
        <v>41</v>
      </c>
      <c r="H15" s="2"/>
    </row>
    <row r="16" spans="1:8" x14ac:dyDescent="0.4">
      <c r="A16" t="s">
        <v>42</v>
      </c>
      <c r="B16" t="s">
        <v>43</v>
      </c>
      <c r="C16" s="3">
        <v>46148</v>
      </c>
      <c r="D16" t="s">
        <v>60</v>
      </c>
      <c r="E16">
        <v>30</v>
      </c>
      <c r="F16">
        <v>1600000</v>
      </c>
      <c r="G16" t="s">
        <v>41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5" sqref="E5"/>
    </sheetView>
  </sheetViews>
  <sheetFormatPr defaultRowHeight="17.399999999999999" x14ac:dyDescent="0.4"/>
  <cols>
    <col min="1" max="1" width="8.59765625" bestFit="1" customWidth="1"/>
    <col min="2" max="2" width="10.3984375" bestFit="1" customWidth="1"/>
    <col min="3" max="3" width="20.8984375" bestFit="1" customWidth="1"/>
    <col min="4" max="5" width="10.3984375" bestFit="1" customWidth="1"/>
    <col min="7" max="7" width="10.8984375" bestFit="1" customWidth="1"/>
  </cols>
  <sheetData>
    <row r="1" spans="1:9" x14ac:dyDescent="0.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7</v>
      </c>
    </row>
    <row r="2" spans="1:9" x14ac:dyDescent="0.4">
      <c r="A2" t="s">
        <v>50</v>
      </c>
      <c r="B2" t="s">
        <v>21</v>
      </c>
      <c r="C2" t="s">
        <v>22</v>
      </c>
      <c r="D2">
        <v>100000000</v>
      </c>
      <c r="E2">
        <v>120000000</v>
      </c>
      <c r="F2" s="5">
        <v>0</v>
      </c>
      <c r="H2" t="s">
        <v>23</v>
      </c>
    </row>
    <row r="3" spans="1:9" x14ac:dyDescent="0.4">
      <c r="A3" t="s">
        <v>50</v>
      </c>
      <c r="B3" t="s">
        <v>21</v>
      </c>
      <c r="C3" t="s">
        <v>24</v>
      </c>
      <c r="D3">
        <v>300000000</v>
      </c>
      <c r="E3">
        <v>320000000</v>
      </c>
      <c r="F3" s="5">
        <v>0</v>
      </c>
      <c r="H3" t="s">
        <v>23</v>
      </c>
    </row>
    <row r="4" spans="1:9" x14ac:dyDescent="0.4">
      <c r="A4" t="s">
        <v>51</v>
      </c>
      <c r="B4" t="s">
        <v>25</v>
      </c>
      <c r="C4" t="s">
        <v>53</v>
      </c>
      <c r="D4">
        <v>50000000</v>
      </c>
      <c r="E4">
        <v>50000000</v>
      </c>
      <c r="F4" s="5">
        <v>3.1</v>
      </c>
      <c r="G4" t="s">
        <v>26</v>
      </c>
      <c r="H4" t="s">
        <v>23</v>
      </c>
    </row>
    <row r="5" spans="1:9" x14ac:dyDescent="0.4">
      <c r="A5" t="s">
        <v>51</v>
      </c>
      <c r="B5" t="s">
        <v>27</v>
      </c>
      <c r="C5" t="s">
        <v>28</v>
      </c>
      <c r="D5">
        <v>150000000</v>
      </c>
      <c r="E5">
        <v>153000000</v>
      </c>
      <c r="F5" s="5">
        <v>2.2999999999999998</v>
      </c>
      <c r="H5" t="s">
        <v>23</v>
      </c>
    </row>
    <row r="6" spans="1:9" x14ac:dyDescent="0.4">
      <c r="A6" t="s">
        <v>52</v>
      </c>
      <c r="B6" t="s">
        <v>27</v>
      </c>
      <c r="C6" t="s">
        <v>29</v>
      </c>
      <c r="D6">
        <v>50000000</v>
      </c>
      <c r="E6">
        <v>50000000</v>
      </c>
      <c r="F6" s="5">
        <v>0</v>
      </c>
      <c r="H6" t="s">
        <v>23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2" sqref="B2"/>
    </sheetView>
  </sheetViews>
  <sheetFormatPr defaultRowHeight="17.399999999999999" x14ac:dyDescent="0.4"/>
  <cols>
    <col min="1" max="1" width="17.3984375" bestFit="1" customWidth="1"/>
    <col min="2" max="3" width="10.3984375" bestFit="1" customWidth="1"/>
    <col min="4" max="4" width="9.3984375" bestFit="1" customWidth="1"/>
    <col min="5" max="5" width="12.59765625" bestFit="1" customWidth="1"/>
  </cols>
  <sheetData>
    <row r="1" spans="1:5" x14ac:dyDescent="0.4">
      <c r="A1" t="s">
        <v>30</v>
      </c>
      <c r="B1" t="s">
        <v>16</v>
      </c>
      <c r="C1" t="s">
        <v>17</v>
      </c>
      <c r="D1" t="s">
        <v>31</v>
      </c>
      <c r="E1" t="s">
        <v>18</v>
      </c>
    </row>
    <row r="2" spans="1:5" x14ac:dyDescent="0.4">
      <c r="A2" t="s">
        <v>32</v>
      </c>
    </row>
    <row r="3" spans="1:5" x14ac:dyDescent="0.4">
      <c r="A3" t="s">
        <v>33</v>
      </c>
      <c r="B3">
        <f>SUM(비주식자산!D:D)</f>
        <v>650000000</v>
      </c>
      <c r="C3">
        <f>SUM(비주식자산!E:E)</f>
        <v>693000000</v>
      </c>
      <c r="D3">
        <f>C3-B3</f>
        <v>43000000</v>
      </c>
      <c r="E3">
        <f>IFERROR(D3/B3*100,0)</f>
        <v>6.6153846153846159</v>
      </c>
    </row>
    <row r="4" spans="1:5" x14ac:dyDescent="0.4">
      <c r="A4" t="s">
        <v>34</v>
      </c>
      <c r="B4">
        <f>SUM(B2:B3)</f>
        <v>650000000</v>
      </c>
      <c r="C4">
        <f>SUM(C2:C3)</f>
        <v>693000000</v>
      </c>
      <c r="D4">
        <f>C4-B4</f>
        <v>43000000</v>
      </c>
      <c r="E4">
        <f>IFERROR(D4/B4*100,0)</f>
        <v>6.6153846153846159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거래이력</vt:lpstr>
      <vt:lpstr>비주식자산</vt:lpstr>
      <vt:lpstr>통합요약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 woong Cho</cp:lastModifiedBy>
  <dcterms:created xsi:type="dcterms:W3CDTF">2026-04-30T05:18:31Z</dcterms:created>
  <dcterms:modified xsi:type="dcterms:W3CDTF">2026-05-07T08:50:09Z</dcterms:modified>
</cp:coreProperties>
</file>